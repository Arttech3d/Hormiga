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TESIS 2.0\"/>
    </mc:Choice>
  </mc:AlternateContent>
  <xr:revisionPtr revIDLastSave="0" documentId="13_ncr:1_{91AEDAB3-7B92-4729-BE6D-172B51E13379}" xr6:coauthVersionLast="47" xr6:coauthVersionMax="47" xr10:uidLastSave="{00000000-0000-0000-0000-000000000000}"/>
  <bookViews>
    <workbookView xWindow="-18540" yWindow="1455" windowWidth="15300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  <c r="K4" i="1" l="1"/>
  <c r="K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" i="1"/>
  <c r="B15" i="1"/>
  <c r="K37" i="1" l="1"/>
</calcChain>
</file>

<file path=xl/sharedStrings.xml><?xml version="1.0" encoding="utf-8"?>
<sst xmlns="http://schemas.openxmlformats.org/spreadsheetml/2006/main" count="144" uniqueCount="130">
  <si>
    <t>Part Name</t>
  </si>
  <si>
    <t>Device</t>
  </si>
  <si>
    <t>Package</t>
  </si>
  <si>
    <t>Cantidad</t>
  </si>
  <si>
    <t>Resistor 472</t>
  </si>
  <si>
    <t>Resistor 000</t>
  </si>
  <si>
    <t>Resistor 180</t>
  </si>
  <si>
    <t>R10</t>
  </si>
  <si>
    <t>SMD R0805</t>
  </si>
  <si>
    <t>SMD R0806</t>
  </si>
  <si>
    <t>SMD R0807</t>
  </si>
  <si>
    <t>R11</t>
  </si>
  <si>
    <t>Resistor NM</t>
  </si>
  <si>
    <t>C1, C2</t>
  </si>
  <si>
    <t>SMD C0603</t>
  </si>
  <si>
    <t>LED0, LED1</t>
  </si>
  <si>
    <t>LED WS2812B</t>
  </si>
  <si>
    <t>SMD 5050</t>
  </si>
  <si>
    <t>IRLML2502</t>
  </si>
  <si>
    <t>Mosfet IRLML2502</t>
  </si>
  <si>
    <t>SOT23</t>
  </si>
  <si>
    <t>SOIC-16</t>
  </si>
  <si>
    <t>Mux CD4051</t>
  </si>
  <si>
    <t>Mux</t>
  </si>
  <si>
    <t>P0,P1,P2,P3,P4,P5,P6,P7</t>
  </si>
  <si>
    <t>IR TCRT5000L</t>
  </si>
  <si>
    <t>TCRT5000L</t>
  </si>
  <si>
    <t>Batery</t>
  </si>
  <si>
    <t>3.7 v 1800 mAh LIPO baterry</t>
  </si>
  <si>
    <t>Encoder</t>
  </si>
  <si>
    <t>Roaty Encoder 48 PPR</t>
  </si>
  <si>
    <t>Link</t>
  </si>
  <si>
    <t>Total</t>
  </si>
  <si>
    <t>9MM</t>
  </si>
  <si>
    <t>Wheel</t>
  </si>
  <si>
    <t>Rubber O-ring</t>
  </si>
  <si>
    <t>OD48CS5</t>
  </si>
  <si>
    <t>Bearing</t>
  </si>
  <si>
    <t>Bearing 623zz</t>
  </si>
  <si>
    <t>3x10x4mm</t>
  </si>
  <si>
    <t>Castor Wheels</t>
  </si>
  <si>
    <t>Steels Ball</t>
  </si>
  <si>
    <t>4mm Diameter</t>
  </si>
  <si>
    <t>Wheel Fastening</t>
  </si>
  <si>
    <t>M3X20mm Bolt with Nut and Pressure Washer</t>
  </si>
  <si>
    <t>M3</t>
  </si>
  <si>
    <t>Chassis Fastening</t>
  </si>
  <si>
    <t>M2.5x10mm</t>
  </si>
  <si>
    <t>Screws Self-Tapping</t>
  </si>
  <si>
    <t>Pinion Gear Shaft</t>
  </si>
  <si>
    <t>Standard Aluminium Rivets</t>
  </si>
  <si>
    <t>Mandrel Diameter 1.8mm</t>
  </si>
  <si>
    <t>SWITCH</t>
  </si>
  <si>
    <t>Switch SS12F23</t>
  </si>
  <si>
    <t>SS12F23</t>
  </si>
  <si>
    <t>BATT0, BATT1</t>
  </si>
  <si>
    <t>Connector JST-PH-2</t>
  </si>
  <si>
    <t>JST-PH-2</t>
  </si>
  <si>
    <t>12C|UART</t>
  </si>
  <si>
    <t>Female Socket Header 1x4</t>
  </si>
  <si>
    <t>PH</t>
  </si>
  <si>
    <t>Male Pin Header 1x3</t>
  </si>
  <si>
    <t>C3, C4</t>
  </si>
  <si>
    <t xml:space="preserve"> </t>
  </si>
  <si>
    <t>Capacitor 10 uF</t>
  </si>
  <si>
    <t>R12</t>
  </si>
  <si>
    <t>Resistor 102</t>
  </si>
  <si>
    <t>R13</t>
  </si>
  <si>
    <t>R14</t>
  </si>
  <si>
    <t>Resistor 101</t>
  </si>
  <si>
    <t>Resistor 121</t>
  </si>
  <si>
    <t>STDBY</t>
  </si>
  <si>
    <t>LED SML 0805 Green</t>
  </si>
  <si>
    <t>SMD SML0805</t>
  </si>
  <si>
    <t>LED SML 0805 Red</t>
  </si>
  <si>
    <t>TP4056</t>
  </si>
  <si>
    <t>SOP-8</t>
  </si>
  <si>
    <t>ESP-12E</t>
  </si>
  <si>
    <t>MT3608</t>
  </si>
  <si>
    <t>MT3608 Step-up Module</t>
  </si>
  <si>
    <t>Wire</t>
  </si>
  <si>
    <t>IMU</t>
  </si>
  <si>
    <t>MPU6050/GY-521 Module</t>
  </si>
  <si>
    <t>Socket</t>
  </si>
  <si>
    <t>TP4056 Charging Module</t>
  </si>
  <si>
    <t>https://es.aliexpress.com/item/1005008790510539.html?spm=a2g0o.detail.pcDetailTopMoreOtherSeller.5.15817PU07PU0Tz&amp;gps-id=pcDetailTopMoreOtherSeller&amp;scm=1007.14452.398466.0&amp;scm_id=1007.14452.398466.0&amp;scm-url=1007.14452.398466.0&amp;pvid=552189fa-7850-4c6b-8ea8-fae22130dfb0&amp;_t=gps-id:pcDetailTopMoreOtherSeller,scm-url:1007.14452.398466.0,pvid:552189fa-7850-4c6b-8ea8-fae22130dfb0,tpp_buckets:668%232846%238110%231995&amp;pdp_ext_f=%7B%22order%22%3A%2235%22%2C%22eval%22%3A%221%22%2C%22sceneId%22%3A%2230050%22%7D&amp;pdp_npi=4%40dis%21MXN%21367.80%21183.90%21%21%2118.92%219.46%21%402101eac917495688415311839e2429%2112000046674238177%21rec%21MX%212167324100%21X&amp;utparam-url=scene%3ApcDetailTopMoreOtherSeller%7Cquery_from%3A&amp;search_p4p_id=202506100820415828281419239108027769_4</t>
  </si>
  <si>
    <t>https://es.aliexpress.com/item/1005008809093711.html?spm=a2g0o.productlist.main.3.175661b5qMMAeD&amp;algo_pvid=43b1703a-28d3-4dd3-932d-df0885b14b0c&amp;algo_exp_id=43b1703a-28d3-4dd3-932d-df0885b14b0c-2&amp;pdp_ext_f=%7B%22order%22%3A%22-1%22%2C%22eval%22%3A%221%22%7D&amp;pdp_npi=4%40dis%21MXN%2177.36%2138.50%21%21%2128.55%2114.21%21%402103244817495691997485492e33f0%2112000046755216820%21sea%21MX%212167324100%21X&amp;curPageLogUid=vhgQ922wLKs5&amp;utparam-url=scene%3Asearch%7Cquery_from%3A</t>
  </si>
  <si>
    <t>https://es.aliexpress.com/item/1005006055833242.html?spm=a2g0o.productlist.main.4.5a4369f0woUOfM&amp;algo_pvid=eba3e60a-c3fe-4ed5-9b47-3ed9b9d89a98&amp;algo_exp_id=eba3e60a-c3fe-4ed5-9b47-3ed9b9d89a98-3&amp;pdp_ext_f=%7B%22order%22%3A%221978%22%2C%22eval%22%3A%221%22%7D&amp;pdp_npi=4%40dis%21MXN%2136.50%2136.50%21%21%211.88%211.88%21%402101eac917495696456466267e2471%2112000035525599177%21sea%21MX%212167324100%21X&amp;curPageLogUid=9asURkspWbVg&amp;utparam-url=scene%3Asearch%7Cquery_from%3A</t>
  </si>
  <si>
    <t>https://es.aliexpress.com/item/1005006237061987.html?spm=a2g0o.productlist.main.9.3c85ZwoAZwoAWF&amp;algo_pvid=ac406f31-e251-4a3f-b346-cb093b69fdae&amp;algo_exp_id=ac406f31-e251-4a3f-b346-cb093b69fdae-8&amp;pdp_ext_f=%7B%22order%22%3A%223%22%2C%22eval%22%3A%221%22%7D&amp;pdp_npi=4%40dis%21MXN%21107.67%2196.90%21%21%2139.73%2135.76%21%402101efeb17495705834304686e6336%2112000036410771741%21sea%21MX%212167324100%21X&amp;curPageLogUid=31dBmQh73rYQ&amp;utparam-url=scene%3Asearch%7Cquery_from%3A</t>
  </si>
  <si>
    <t>https://es.aliexpress.com/item/1005006999030038.html?spm=a2g0o.cart.0.0.2f8c7a9dJzKuvx&amp;mp=1&amp;pdp_npi=5%40dis%21MXN%21MXN%2086.90%21MXN%2086.90%21%21MXN%2086.90%21%21%21%4021030ea417495719896891726e07d4%2112000038996754416%21ct%21MX%212167324100%21%211%210&amp;gatewayAdapt=glo2esp</t>
  </si>
  <si>
    <t>Capacitor 100pF</t>
  </si>
  <si>
    <t>https://es.aliexpress.com/item/1005005000107445.html?spm=a2g0o.cart.0.0.1d607a9dgFyQhf&amp;mp=1&amp;pdp_npi=5%40dis%21MXN%21MXN%2077.07%21MXN%2067.35%21%21MXN%2067.35%21%21%21%402103201917495717114476299e26f8%2112000031301177862%21ct%21MX%21-1%21%211%210&amp;pdp_ext_f=%7B%22cart2PdpParams%22%3A%7B%22pdpBusinessMode%22%3A%22retail%22%7D%7D&amp;gatewayAdapt=glo2esp</t>
  </si>
  <si>
    <t>https://es.aliexpress.com/item/4000145165262.html?spm=a2g0o.cart.0.0.1d607a9dgFyQhf&amp;mp=1&amp;pdp_npi=5%40dis%21MXN%21MXN%2048.90%21MXN%2048.90%21%21MXN%2048.90%21%21%21%402103201917495717114476299e26f8%2112000040108518554%21ct%21MX%21-1%21%211%210&amp;gatewayAdapt=glo2esp</t>
  </si>
  <si>
    <t>https://es.aliexpress.com/item/1005003327232870.html?spm=a2g0o.cart.0.0.1d607a9dgFyQhf&amp;mp=1&amp;pdp_npi=5%40dis%21MXN%21MXN%2055.40%21MXN%2053.90%21%21MXN%2053.90%21%21%21%402103201917495717114476299e26f8%2112000025230727195%21ct%21MX%21-1%21%211%210&amp;gatewayAdapt=glo2esp</t>
  </si>
  <si>
    <t>https://es.aliexpress.com/item/1005003327232870.html?spm=a2g0o.cart.0.0.1d607a9dgFyQhf&amp;mp=1&amp;pdp_npi=5%40dis%21MXN%21MXN%2053.44%21MXN%2051.90%21%21MXN%2051.90%21%21%21%402103201917495717114476299e26f8%2112000025230727196%21ct%21MX%21-1%21%211%210&amp;gatewayAdapt=glo2esp</t>
  </si>
  <si>
    <t>https://es.aliexpress.com/item/1005008365308058.html?spm=a2g0o.cart.0.0.1d607a9dgFyQhf&amp;mp=1&amp;pdp_npi=5%40dis%21MXN%21MXN%2018.86%21MXN%2018.86%21%21MXN%2018.86%21%21%21%402103201917495717114476299e26f8%2112000044730357839%21ct%21MX%21-1%21%218%210&amp;gatewayAdapt=glo2esp</t>
  </si>
  <si>
    <t>https://es.aliexpress.com/item/1005008684219494.html?spm=a2g0o.cart.0.0.1d607a9dgFyQhf&amp;mp=1&amp;pdp_npi=5%40dis%21MXN%21MXN%2077.90%21MXN%2077.90%21%21MXN%2077.90%21%21%21%402103201917495717114476299e26f8%2112000046229508880%21ct%21MX%21-1%21%211%210&amp;gatewayAdapt=glo2esp</t>
  </si>
  <si>
    <t>Costo</t>
  </si>
  <si>
    <t>https://es.aliexpress.com/item/1005007928575533.html?spm=a2g0o.cart.0.0.1d607a9dgFyQhf&amp;mp=1&amp;pdp_npi=5%40dis%21MXN%21MXN%2012.05%21MXN%2011.86%21%21MXN%2011.86%21%21%21%402103201917495717114476299e26f8%2112000042897043038%21ct%21MX%21-1%21%211%210&amp;gatewayAdapt=glo2esp</t>
  </si>
  <si>
    <t>https://es.aliexpress.com/item/1005006446690152.html?spm=a2g0o.cart.0.0.262a7a9dqmTZwg&amp;mp=1&amp;pdp_npi=5%40dis%21MXN%21MXN%209.29%21MXN%207.42%21%21MXN%207.42%21%21%21%40210330dd17495759599955138e29c2%2112000037200446655%21ct%21MX%212167324100%21%211%210&amp;gatewayAdapt=glo2esp</t>
  </si>
  <si>
    <t>https://es.aliexpress.com/item/1005006446690152.html?spm=a2g0o.cart.0.0.262a7a9dqmTZwg&amp;mp=1&amp;pdp_npi=5%40dis%21MXN%21MXN%209.29%21MXN%207.42%21%21MXN%207.42%21%21%21%40210330dd17495759599955138e29c2%2112000037200446539%21ct%21MX%212167324100%21%211%210&amp;gatewayAdapt=glo2esp</t>
  </si>
  <si>
    <t>https://es.aliexpress.com/item/1005006446690152.html?spm=a2g0o.cart.0.0.262a7a9dqmTZwg&amp;mp=1&amp;pdp_npi=5%40dis%21MXN%21MXN%209.29%21MXN%207.42%21%21MXN%207.42%21%21%21%40210330dd17495759599955138e29c2%2112000037200446597%21ct%21MX%212167324100%21%211%210&amp;gatewayAdapt=glo2esp</t>
  </si>
  <si>
    <t>https://es.aliexpress.com/item/1005006446690152.html?spm=a2g0o.cart.0.0.262a7a9dqmTZwg&amp;mp=1&amp;pdp_npi=5%40dis%21MXN%21MXN%209.29%21MXN%207.42%21%21MXN%207.42%21%21%21%40210330dd17495759599955138e29c2%2112000037200446617%21ct%21MX%212167324100%21%211%210&amp;gatewayAdapt=glo2esp</t>
  </si>
  <si>
    <t>https://es.aliexpress.com/item/1005006446690152.html?spm=a2g0o.cart.0.0.262a7a9dqmTZwg&amp;mp=1&amp;pdp_npi=5%40dis%21MXN%21MXN%209.29%21MXN%207.42%21%21MXN%207.42%21%21%21%40210330dd17495759599955138e29c2%2112000037200446615%21ct%21MX%212167324100%21%211%210&amp;gatewayAdapt=glo2esp</t>
  </si>
  <si>
    <t>https://es.aliexpress.com/item/1005006446690152.html?spm=a2g0o.cart.0.0.262a7a9dqmTZwg&amp;mp=1&amp;pdp_npi=5%40dis%21MXN%21MXN%209.29%21MXN%207.42%21%21MXN%207.42%21%21%21%40210330dd17495759599955138e29c2%2112000037200446639%21ct%21MX%212167324100%21%211%210&amp;gatewayAdapt=glo2esp</t>
  </si>
  <si>
    <t>https://es.aliexpress.com/item/1005003938856402.html?spm=a2g0o.productlist.main.2.540c74a0keNkUc&amp;aem_p4p_detail=202506101033061570787400665130000558380&amp;algo_pvid=1ec82087-0ca5-4d30-ab57-98fb0d024e68&amp;algo_exp_id=1ec82087-0ca5-4d30-ab57-98fb0d024e68-1&amp;pdp_ext_f=%7B%22order%22%3A%221803%22%2C%22eval%22%3A%221%22%7D&amp;pdp_npi=4%40dis%21MXN%2148.40%2146.84%21%21%212.49%212.41%21%402101c80017495767866475688e11ca%2112000027515454269%21sea%21MX%212167324100%21X&amp;curPageLogUid=wxYuHZBMgq5r&amp;utparam-url=scene%3Asearch%7Cquery_from%3A&amp;search_p4p_id=202506101033061570787400665130000558380_1</t>
  </si>
  <si>
    <t>https://es.aliexpress.com/item/1005007441813591.html?spm=a2g0o.productlist.main.27.51226c76TZ2iNY&amp;algo_pvid=59321749-9db0-4779-8d54-2bedb5b1abb9&amp;algo_exp_id=59321749-9db0-4779-8d54-2bedb5b1abb9-24&amp;pdp_ext_f=%7B%22order%22%3A%22139%22%2C%22eval%22%3A%221%22%7D&amp;pdp_npi=4%40dis%21MXN%2130.90%2130.90%21%21%211.59%211.59%21%40210330dd17495768940105584e29c7%2112000040770144128%21sea%21MX%212167324100%21X&amp;curPageLogUid=nvje9MqwJo67&amp;utparam-url=scene%3Asearch%7Cquery_from%3A</t>
  </si>
  <si>
    <t>https://es.aliexpress.com/item/1005009171119469.html?spm=a2g0o.productlist.main.1.27e06371eX6GMU&amp;algo_pvid=af7b5328-79cf-4d21-a327-aa66f19c04d3&amp;algo_exp_id=af7b5328-79cf-4d21-a327-aa66f19c04d3-0&amp;pdp_ext_f=%7B%22order%22%3A%22-1%22%2C%22eval%22%3A%221%22%7D&amp;pdp_npi=4%40dis%21MXN%2150.73%2127.90%21%21%2118.72%2110.30%21%402101ec1a17495781349131560e42e8%2112000048187118445%21sea%21MX%212167324100%21X&amp;curPageLogUid=F7Dmfx8AFscx&amp;utparam-url=scene%3Asearch%7Cquery_from%3A</t>
  </si>
  <si>
    <t>https://es.aliexpress.com/item/1005006361814667.html?spm=a2g0o.cart.shoppingCartRecommend.8.54987a9dZB0PZI&amp;gps-id=shoppingCartRecommend&amp;scm=1007.13440.426876.0&amp;scm_id=1007.13440.426876.0&amp;scm-url=1007.13440.426876.0&amp;pvid=d6ec54c2-fab4-442d-a1fd-2fee2bf33621&amp;_t=gps-id:shoppingCartRecommend,scm-url:1007.13440.426876.0,pvid:d6ec54c2-fab4-442d-a1fd-2fee2bf33621,tpp_buckets:668%232846%238110%231995&amp;pdp_ext_f=%7B%22order%22%3A%224692%22%2C%22eval%22%3A%221%22%2C%22sceneId%22%3A%223440%22%7D&amp;pdp_npi=4%40dis%21MXN%2130.50%2130.50%21%21%2111.26%2111.26%21%402101584917495782594222540ed33e%2112000036895232308%21rec%21MX%212167324100%21XZ&amp;utparam-url=scene%3AshoppingCartRecommend%7Cquery_from%3A&amp;_gl=1*1rgg1jh*_gcl_aw*R0NMLjE3NDk1NzA0MjYuQ2p3S0NBandyNV9DQmhCbEVpd0F6ZndZdUUyTXI3MFhrenpxZllyVHB2VUNTWUNZcnE3eGVtaUJpUkYzdkNkam9ZbmM0cFltVTBWb09Cb0NlUmdRQXZEX0J3RQ..*_gcl_dc*R0NMLjE3NDk1NzA0MjYuQ2p3S0NBandyNV9DQmhCbEVpd0F6ZndZdUUyTXI3MFhrenpxZllyVHB2VUNTWUNZcnE3eGVtaUJpUkYzdkNkam9ZbmM0cFltVTBWb09Cb0NlUmdRQXZEX0J3RQ..*_gcl_au*MjAwNjQ5MjcwNC4xNzQ5NTY4Mzgy*_ga*ODQ1NDk0MjIzLjE3NDk1NjgzODM.*_ga_VED1YSGNC7*czE3NDk1NzQ0NDYkbzIkZzEkdDE3NDk1NzgyNjckajYwJGwwJGgw</t>
  </si>
  <si>
    <t>https://es.aliexpress.com/item/1005008145821171.html?spm=a2g0o.productlist.main.2.4a575b8dvgZFyB&amp;aem_p4p_detail=202506101101024685032506208010000572589&amp;algo_pvid=008c34eb-aed5-4a2a-a669-2a50e0a94d68&amp;algo_exp_id=008c34eb-aed5-4a2a-a669-2a50e0a94d68-1&amp;pdp_ext_f=%7B%22order%22%3A%221073%22%2C%22eval%22%3A%221%22%7D&amp;pdp_npi=4%40dis%21MXN%2147.50%2147.50%21%21%2117.53%2117.53%21%402101eab017495784625216663e1bd4%2112000044264539066%21sea%21MX%212167324100%21X&amp;curPageLogUid=lwEAYMuIrFVb&amp;utparam-url=scene%3Asearch%7Cquery_from%3A&amp;search_p4p_id=202506101101024685032506208010000572589_1</t>
  </si>
  <si>
    <t>R0,R1,R2,R3,R4,R5,R6,R7,R8</t>
  </si>
  <si>
    <t>R9, R15+B5:K29</t>
  </si>
  <si>
    <t>https://es.aliexpress.com/item/32954883613.html?spm=a2g0o.productlist.main.1.71f57HyQ7HyQxV&amp;algo_pvid=70459013-3d18-4633-a8b7-4a0e806558ba&amp;algo_exp_id=70459013-3d18-4633-a8b7-4a0e806558ba-0&amp;pdp_ext_f=%7B%22order%22%3A%222%22%2C%22eval%22%3A%221%22%7D&amp;pdp_npi=4%40dis%21MXN%2128.19%2121.19%21%21%211.45%211.09%21%402103244817496555370194747e52f6%2112000027611530284%21sea%21MX%212167324100%21X&amp;curPageLogUid=107zHMixImbc&amp;utparam-url=scene%3Asearch%7Cquery_from%3A</t>
  </si>
  <si>
    <t>https://es.aliexpress.com/item/1005005962027634.html?spm=a2g0o.cart.0.0.3e477a9dAe5HUI&amp;mp=1&amp;pdp_npi=5%40dis%21MXN%21MXN%209.72%21MXN%205.64%21%21MXN%205.64%21%21%21%40210318c317496556416684428e1c00%2112000035062885937%21ct%21MX%212167324100%21%211%210&amp;gatewayAdapt=glo2esp</t>
  </si>
  <si>
    <t>https://es.aliexpress.com/item/1005005000107445.html?spm=a2g0o.cart.0.0.3e477a9dAe5HUI&amp;mp=1&amp;pdp_npi=5%40dis%21MXN%21MXN%2093.90%21MXN%2093.90%21%21MXN%2093.90%21%21%21%40210318c317496556498204602e1c00%2112000031301177900%21ct%21MX%212167324100%21%211%210&amp;pdp_ext_f=%7B%22cart2PdpParams%22%3A%7B%22pdpBusinessMode%22%3A%22retail%22%7D%7D&amp;gatewayAdapt=glo2esp</t>
  </si>
  <si>
    <t>https://es.aliexpress.com/item/1005007774687124.html?spm=a2g0o.detail.pcDetailTopMoreOtherSeller.4.b6aeosBDosBDJP&amp;gps-id=pcDetailTopMoreOtherSeller&amp;scm=1007.40050.354490.0&amp;scm_id=1007.40050.354490.0&amp;scm-url=1007.40050.354490.0&amp;pvid=387d8eac-8e48-4cc7-99a2-97a5837b1e8e&amp;_t=gps-id:pcDetailTopMoreOtherSeller,scm-url:1007.40050.354490.0,pvid:387d8eac-8e48-4cc7-99a2-97a5837b1e8e,tpp_buckets:668%232846%238110%231995&amp;isseo=y&amp;pdp_ext_f=%7B%22order%22%3A%22321%22%2C%22eval%22%3A%221%22%2C%22sceneId%22%3A%2230050%22%7D&amp;pdp_npi=4%40dis%21MXN%2136.50%2136.50%21%21%211.88%211.88%21%402101efeb17496571002065103e8a54%2112000042172718756%21rec%21MX%212167324100%21XZ&amp;utparam-url=scene%3ApcDetailTopMoreOtherSeller%7Cquery_from%3A</t>
  </si>
  <si>
    <t>https://es.aliexpress.com/item/32973181162.html?spm=a2g0o.productlist.main.26.165bpbRNpbRN8w&amp;algo_pvid=04c484bc-e972-4db6-8510-75d88d21980a&amp;algo_exp_id=04c484bc-e972-4db6-8510-75d88d21980a-25&amp;pdp_ext_f=%7B%22order%22%3A%22627%22%2C%22eval%22%3A%221%22%7D&amp;pdp_npi=4%40dis%21MXN%2139.90%2139.90%21%21%212.05%212.05%21%402101c71a17496577163524089e2190%2166700241728%21sea%21MX%212167324100%21X&amp;curPageLogUid=nzXyuXOSOoCO&amp;utparam-url=scene%3Asearch%7Cquery_from%3A</t>
  </si>
  <si>
    <t>Envio</t>
  </si>
  <si>
    <t>https://es.aliexpress.com/item/1005005699510422.html?spm=a2g0o.productlist.main.4.803b6d312sqQbZ&amp;aem_p4p_detail=202506110912446789906108562260001473298&amp;algo_pvid=52a9b914-c7c5-4df7-9c21-4faaf630ca48&amp;algo_exp_id=52a9b914-c7c5-4df7-9c21-4faaf630ca48-3&amp;pdp_ext_f=%7B%22order%22%3A%22112%22%2C%22eval%22%3A%221%22%7D&amp;pdp_npi=4%40dis%21MXN%2168.90%2168.90%21%21%2125.43%2125.43%21%402103146c17496583645654244e4a43%2112000039176823008%21sea%21MX%212167324100%21X&amp;curPageLogUid=BRL2tXcr3nBg&amp;utparam-url=scene%3Asearch%7Cquery_from%3A&amp;search_p4p_id=202506110912446789906108562260001473298_1</t>
  </si>
  <si>
    <t>https://es.aliexpress.com/item/1005006740110398.html?spm=a2g0o.detail.pcDetailTopMoreOtherSeller.1.78abUWPYUWPYnm&amp;gps-id=pcDetailTopMoreOtherSeller&amp;scm=1007.40050.354490.0&amp;scm_id=1007.40050.354490.0&amp;scm-url=1007.40050.354490.0&amp;pvid=a82b2718-2bae-4e56-915e-3da15776a618&amp;_t=gps-id:pcDetailTopMoreOtherSeller,scm-url:1007.40050.354490.0,pvid:a82b2718-2bae-4e56-915e-3da15776a618,tpp_buckets:668%232846%238110%231995&amp;pdp_ext_f=%7B%22order%22%3A%22303%22%2C%22eval%22%3A%221%22%2C%22sceneId%22%3A%2230050%22%7D&amp;pdp_npi=4%40dis%21MXN%21101.90%21101.90%21%21%2137.61%2137.61%21%40210318c317496604457164606e1bf5%2112000038148619466%21rec%21MX%212167324100%21X&amp;utparam-url=scene%3ApcDetailTopMoreOtherSeller%7Cquery_from%3A</t>
  </si>
  <si>
    <t>ESP-12 NodeMCU CP2102</t>
  </si>
  <si>
    <t>Servomotores</t>
  </si>
  <si>
    <t>MG90S</t>
  </si>
  <si>
    <t>https://es.aliexpress.com/item/1005007533722489.html?spm=a2g0o.detail.pcDetailTopMoreOtherSeller.1.41depkvapkvaRn&amp;gps-id=pcDetailTopMoreOtherSeller&amp;scm=1007.14452.398466.0&amp;scm_id=1007.14452.398466.0&amp;scm-url=1007.14452.398466.0&amp;pvid=ec686e2f-d42f-4c6e-ad95-bfd86df0fa2b&amp;_t=gps-id:pcDetailTopMoreOtherSeller,scm-url:1007.14452.398466.0,pvid:ec686e2f-d42f-4c6e-ad95-bfd86df0fa2b,tpp_buckets:668%232846%238110%231995&amp;pdp_ext_f=%7B%22order%22%3A%22203%22%2C%22eval%22%3A%221%22%2C%22sceneId%22%3A%2230050%22%7D&amp;pdp_npi=4%40dis%21MXN%2140.50%2140.50%21%21%2115.07%2115.07%21%402101c5b117497435521736206e8f9c%2112000041188781424%21rec%21MX%212167324100%21XZ&amp;utparam-url=scene%3ApcDetailTopMoreOtherSeller%7Cquery_from%3A&amp;search_p4p_id=202506120852322167548075136588754078_0</t>
  </si>
  <si>
    <t>Cotiene del paquete</t>
  </si>
  <si>
    <t>cantidad de paquetes</t>
  </si>
  <si>
    <t>MATERIAL PARA 10 ROBOTS</t>
  </si>
  <si>
    <t>Los conseguimos aquí</t>
  </si>
  <si>
    <t>No encontrado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</si>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</sst>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4" fontId="0" fillId="0" borderId="0" xfId="0" applyNumberFormat="1"/>
    <xf numFmtId="0" fontId="0" fillId="0" borderId="2" xfId="0" applyBorder="1"/>
    <xf numFmtId="44" fontId="0" fillId="0" borderId="1" xfId="1" applyFont="1" applyBorder="1"/>
    <xf numFmtId="44" fontId="0" fillId="0" borderId="1" xfId="0" applyNumberFormat="1" applyBorder="1"/>
    <xf numFmtId="44" fontId="0" fillId="0" borderId="1" xfId="1" applyFont="1" applyFill="1" applyBorder="1" applyAlignment="1"/>
    <xf numFmtId="0" fontId="2" fillId="0" borderId="1" xfId="2" applyBorder="1"/>
    <xf numFmtId="0" fontId="2" fillId="0" borderId="1" xfId="2" applyFill="1" applyBorder="1"/>
    <xf numFmtId="0" fontId="0" fillId="5" borderId="1" xfId="0" applyFill="1" applyBorder="1"/>
    <xf numFmtId="44" fontId="0" fillId="2" borderId="5" xfId="0" applyNumberFormat="1" applyFill="1" applyBorder="1" applyAlignment="1"/>
    <xf numFmtId="44" fontId="0" fillId="2" borderId="6" xfId="0" applyNumberFormat="1" applyFill="1" applyBorder="1" applyAlignment="1"/>
    <xf numFmtId="44" fontId="0" fillId="2" borderId="7" xfId="0" applyNumberFormat="1" applyFill="1" applyBorder="1" applyAlignment="1"/>
    <xf numFmtId="44" fontId="0" fillId="3" borderId="1" xfId="0" applyNumberFormat="1" applyFill="1" applyBorder="1" applyAlignment="1"/>
    <xf numFmtId="0" fontId="0" fillId="4" borderId="3" xfId="0" applyFill="1" applyBorder="1" applyAlignment="1"/>
    <xf numFmtId="0" fontId="0" fillId="4" borderId="4" xfId="0" applyFill="1" applyBorder="1" applyAlignment="1"/>
    <xf numFmtId="0" fontId="0" fillId="0" borderId="1" xfId="0" applyFill="1" applyBorder="1"/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.aliexpress.com/item/1005006446690152.html?spm=a2g0o.cart.0.0.262a7a9dqmTZwg&amp;mp=1&amp;pdp_npi=5%40dis%21MXN%21MXN%209.29%21MXN%207.42%21%21MXN%207.42%21%21%21%40210330dd17495759599955138e29c2%2112000037200446597%21ct%21MX%212167324100%21%211%210&amp;gatewayAdapt=glo2esp" TargetMode="External"/><Relationship Id="rId3" Type="http://schemas.openxmlformats.org/officeDocument/2006/relationships/hyperlink" Target="https://es.aliexpress.com/item/1005005000107445.html?spm=a2g0o.cart.0.0.1d607a9dgFyQhf&amp;mp=1&amp;pdp_npi=5%40dis%21MXN%21MXN%2077.07%21MXN%2067.35%21%21MXN%2067.35%21%21%21%402103201917495717114476299e26f8%2112000031301177862%21ct%21MX%21-1%21%211%210&amp;pdp_ext_f=%7B%22cart2PdpParams%22%3A%7B%22pdpBusinessMode%22%3A%22retail%22%7D%7D&amp;gatewayAdapt=glo2esp" TargetMode="External"/><Relationship Id="rId7" Type="http://schemas.openxmlformats.org/officeDocument/2006/relationships/hyperlink" Target="https://es.aliexpress.com/item/1005006446690152.html?spm=a2g0o.cart.0.0.262a7a9dqmTZwg&amp;mp=1&amp;pdp_npi=5%40dis%21MXN%21MXN%209.29%21MXN%207.42%21%21MXN%207.42%21%21%21%40210330dd17495759599955138e29c2%2112000037200446539%21ct%21MX%212167324100%21%211%210&amp;gatewayAdapt=glo2esp" TargetMode="External"/><Relationship Id="rId2" Type="http://schemas.openxmlformats.org/officeDocument/2006/relationships/hyperlink" Target="https://es.aliexpress.com/item/4000145165262.html?spm=a2g0o.cart.0.0.1d607a9dgFyQhf&amp;mp=1&amp;pdp_npi=5%40dis%21MXN%21MXN%2048.90%21MXN%2048.90%21%21MXN%2048.90%21%21%21%402103201917495717114476299e26f8%2112000040108518554%21ct%21MX%21-1%21%211%210&amp;gatewayAdapt=glo2esp" TargetMode="External"/><Relationship Id="rId1" Type="http://schemas.openxmlformats.org/officeDocument/2006/relationships/hyperlink" Target="https://es.aliexpress.com/item/1005007928575533.html?spm=a2g0o.cart.0.0.1d607a9dgFyQhf&amp;mp=1&amp;pdp_npi=5%40dis%21MXN%21MXN%2012.05%21MXN%2011.86%21%21MXN%2011.86%21%21%21%402103201917495717114476299e26f8%2112000042897043038%21ct%21MX%21-1%21%211%210&amp;gatewayAdapt=glo2esp" TargetMode="External"/><Relationship Id="rId6" Type="http://schemas.openxmlformats.org/officeDocument/2006/relationships/hyperlink" Target="https://es.aliexpress.com/item/1005006446690152.html?spm=a2g0o.cart.0.0.262a7a9dqmTZwg&amp;mp=1&amp;pdp_npi=5%40dis%21MXN%21MXN%209.29%21MXN%207.42%21%21MXN%207.42%21%21%21%40210330dd17495759599955138e29c2%2112000037200446655%21ct%21MX%212167324100%21%211%210&amp;gatewayAdapt=glo2esp" TargetMode="External"/><Relationship Id="rId5" Type="http://schemas.openxmlformats.org/officeDocument/2006/relationships/hyperlink" Target="https://es.aliexpress.com/item/1005008365308058.html?spm=a2g0o.cart.0.0.1d607a9dgFyQhf&amp;mp=1&amp;pdp_npi=5%40dis%21MXN%21MXN%2018.86%21MXN%2018.86%21%21MXN%2018.86%21%21%21%402103201917495717114476299e26f8%2112000044730357839%21ct%21MX%21-1%21%218%210&amp;gatewayAdapt=glo2esp" TargetMode="External"/><Relationship Id="rId10" Type="http://schemas.openxmlformats.org/officeDocument/2006/relationships/hyperlink" Target="https://es.aliexpress.com/item/1005006446690152.html?spm=a2g0o.cart.0.0.262a7a9dqmTZwg&amp;mp=1&amp;pdp_npi=5%40dis%21MXN%21MXN%209.29%21MXN%207.42%21%21MXN%207.42%21%21%21%40210330dd17495759599955138e29c2%2112000037200446639%21ct%21MX%212167324100%21%211%210&amp;gatewayAdapt=glo2esp" TargetMode="External"/><Relationship Id="rId4" Type="http://schemas.openxmlformats.org/officeDocument/2006/relationships/hyperlink" Target="https://es.aliexpress.com/item/1005008684219494.html?spm=a2g0o.cart.0.0.1d607a9dgFyQhf&amp;mp=1&amp;pdp_npi=5%40dis%21MXN%21MXN%2077.90%21MXN%2077.90%21%21MXN%2077.90%21%21%21%402103201917495717114476299e26f8%2112000046229508880%21ct%21MX%21-1%21%211%210&amp;gatewayAdapt=glo2esp" TargetMode="External"/><Relationship Id="rId9" Type="http://schemas.openxmlformats.org/officeDocument/2006/relationships/hyperlink" Target="https://es.aliexpress.com/item/1005005000107445.html?spm=a2g0o.cart.0.0.3e477a9dAe5HUI&amp;mp=1&amp;pdp_npi=5%40dis%21MXN%21MXN%2093.90%21MXN%2093.90%21%21MXN%2093.90%21%21%21%40210318c317496556498204602e1c00%2112000031301177900%21ct%21MX%212167324100%21%211%210&amp;pdp_ext_f=%7B%22cart2PdpParams%22%3A%7B%22pdpBusinessMode%22%3A%22retail%22%7D%7D&amp;gatewayAdapt=glo2e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A13" zoomScaleNormal="100" workbookViewId="0">
      <selection activeCell="C7" sqref="C7"/>
    </sheetView>
  </sheetViews>
  <sheetFormatPr baseColWidth="10" defaultRowHeight="15" x14ac:dyDescent="0.25"/>
  <cols>
    <col min="2" max="2" width="17.5703125" customWidth="1"/>
    <col min="3" max="3" width="25.28515625" customWidth="1"/>
    <col min="4" max="4" width="7.5703125" bestFit="1" customWidth="1"/>
    <col min="6" max="6" width="9.28515625" bestFit="1" customWidth="1"/>
    <col min="7" max="7" width="11.42578125" bestFit="1" customWidth="1"/>
    <col min="8" max="8" width="19.28515625" bestFit="1" customWidth="1"/>
    <col min="9" max="9" width="20.140625" bestFit="1" customWidth="1"/>
  </cols>
  <sheetData>
    <row r="1" spans="2:12" x14ac:dyDescent="0.25">
      <c r="H1" s="15" t="s">
        <v>126</v>
      </c>
      <c r="I1" s="16"/>
      <c r="J1" s="16"/>
      <c r="K1" s="16"/>
      <c r="L1" s="16"/>
    </row>
    <row r="2" spans="2:12" x14ac:dyDescent="0.25">
      <c r="B2" s="1" t="s">
        <v>0</v>
      </c>
      <c r="C2" s="1" t="s">
        <v>1</v>
      </c>
      <c r="D2" s="1" t="s">
        <v>129</v>
      </c>
      <c r="E2" s="1" t="s">
        <v>2</v>
      </c>
      <c r="F2" s="1" t="s">
        <v>3</v>
      </c>
      <c r="H2" s="1" t="s">
        <v>97</v>
      </c>
      <c r="I2" s="1" t="s">
        <v>124</v>
      </c>
      <c r="J2" s="1" t="s">
        <v>125</v>
      </c>
      <c r="K2" s="1" t="s">
        <v>32</v>
      </c>
      <c r="L2" s="1" t="s">
        <v>31</v>
      </c>
    </row>
    <row r="3" spans="2:12" ht="30.75" customHeight="1" x14ac:dyDescent="0.25">
      <c r="B3" s="18" t="s">
        <v>110</v>
      </c>
      <c r="C3" s="19" t="s">
        <v>4</v>
      </c>
      <c r="D3" s="17"/>
      <c r="E3" s="20" t="s">
        <v>8</v>
      </c>
      <c r="F3" s="24">
        <v>9</v>
      </c>
      <c r="H3" s="5">
        <v>8</v>
      </c>
      <c r="I3" s="2">
        <v>100</v>
      </c>
      <c r="J3" s="2">
        <v>1</v>
      </c>
      <c r="K3" s="6">
        <f>H3*J3</f>
        <v>8</v>
      </c>
      <c r="L3" s="8" t="s">
        <v>99</v>
      </c>
    </row>
    <row r="4" spans="2:12" x14ac:dyDescent="0.25">
      <c r="B4" s="17" t="s">
        <v>111</v>
      </c>
      <c r="C4" s="19" t="s">
        <v>5</v>
      </c>
      <c r="D4" s="17"/>
      <c r="E4" s="20" t="s">
        <v>8</v>
      </c>
      <c r="F4" s="25">
        <v>2</v>
      </c>
      <c r="H4" s="5">
        <v>8</v>
      </c>
      <c r="I4" s="2">
        <v>100</v>
      </c>
      <c r="J4" s="2">
        <v>1</v>
      </c>
      <c r="K4" s="6">
        <f t="shared" ref="K4:K5" si="0">H4*J4</f>
        <v>8</v>
      </c>
      <c r="L4" s="8" t="s">
        <v>100</v>
      </c>
    </row>
    <row r="5" spans="2:12" x14ac:dyDescent="0.25">
      <c r="B5" s="17" t="s">
        <v>7</v>
      </c>
      <c r="C5" s="19" t="s">
        <v>6</v>
      </c>
      <c r="D5" s="17"/>
      <c r="E5" s="20" t="s">
        <v>8</v>
      </c>
      <c r="F5" s="25">
        <v>1</v>
      </c>
      <c r="H5" s="5">
        <v>8</v>
      </c>
      <c r="I5" s="2">
        <v>100</v>
      </c>
      <c r="J5" s="2">
        <v>1</v>
      </c>
      <c r="K5" s="6">
        <f t="shared" si="0"/>
        <v>8</v>
      </c>
      <c r="L5" s="8" t="s">
        <v>101</v>
      </c>
    </row>
    <row r="6" spans="2:12" x14ac:dyDescent="0.25">
      <c r="B6" s="17" t="s">
        <v>11</v>
      </c>
      <c r="C6" s="19" t="s">
        <v>12</v>
      </c>
      <c r="D6" s="17"/>
      <c r="E6" s="20" t="s">
        <v>8</v>
      </c>
      <c r="F6" s="25">
        <v>0</v>
      </c>
      <c r="H6" s="11" t="s">
        <v>128</v>
      </c>
      <c r="I6" s="12"/>
      <c r="J6" s="12"/>
      <c r="K6" s="13"/>
      <c r="L6" s="10"/>
    </row>
    <row r="7" spans="2:12" x14ac:dyDescent="0.25">
      <c r="B7" s="17" t="s">
        <v>13</v>
      </c>
      <c r="C7" s="19" t="s">
        <v>90</v>
      </c>
      <c r="D7" s="17"/>
      <c r="E7" s="20" t="s">
        <v>14</v>
      </c>
      <c r="F7" s="25">
        <v>2</v>
      </c>
      <c r="H7" s="5">
        <v>77</v>
      </c>
      <c r="I7" s="2">
        <v>10</v>
      </c>
      <c r="J7" s="2">
        <v>1</v>
      </c>
      <c r="K7" s="6">
        <f>H7*J7</f>
        <v>77</v>
      </c>
      <c r="L7" s="9" t="s">
        <v>91</v>
      </c>
    </row>
    <row r="8" spans="2:12" x14ac:dyDescent="0.25">
      <c r="B8" s="17" t="s">
        <v>15</v>
      </c>
      <c r="C8" s="19" t="s">
        <v>16</v>
      </c>
      <c r="D8" s="17"/>
      <c r="E8" s="20" t="s">
        <v>17</v>
      </c>
      <c r="F8" s="25">
        <v>2</v>
      </c>
      <c r="H8" s="5">
        <v>50</v>
      </c>
      <c r="I8" s="2">
        <v>10</v>
      </c>
      <c r="J8" s="2">
        <v>2</v>
      </c>
      <c r="K8" s="6">
        <f>H8*J8</f>
        <v>100</v>
      </c>
      <c r="L8" s="8" t="s">
        <v>92</v>
      </c>
    </row>
    <row r="9" spans="2:12" x14ac:dyDescent="0.25">
      <c r="B9" s="17" t="s">
        <v>18</v>
      </c>
      <c r="C9" s="19" t="s">
        <v>19</v>
      </c>
      <c r="D9" s="17"/>
      <c r="E9" s="20" t="s">
        <v>20</v>
      </c>
      <c r="F9" s="25">
        <v>1</v>
      </c>
      <c r="H9" s="5">
        <v>22</v>
      </c>
      <c r="I9" s="2">
        <v>50</v>
      </c>
      <c r="J9" s="2">
        <v>1</v>
      </c>
      <c r="K9" s="6">
        <f>H9*J9</f>
        <v>22</v>
      </c>
      <c r="L9" s="1" t="s">
        <v>112</v>
      </c>
    </row>
    <row r="10" spans="2:12" x14ac:dyDescent="0.25">
      <c r="B10" s="17" t="s">
        <v>23</v>
      </c>
      <c r="C10" s="19" t="s">
        <v>22</v>
      </c>
      <c r="D10" s="17"/>
      <c r="E10" s="20" t="s">
        <v>21</v>
      </c>
      <c r="F10" s="25">
        <v>1</v>
      </c>
      <c r="H10" s="5">
        <v>30</v>
      </c>
      <c r="I10" s="2">
        <v>10</v>
      </c>
      <c r="J10" s="2">
        <v>1</v>
      </c>
      <c r="K10" s="6">
        <f>H10*J10</f>
        <v>30</v>
      </c>
      <c r="L10" s="8" t="s">
        <v>96</v>
      </c>
    </row>
    <row r="11" spans="2:12" ht="30" x14ac:dyDescent="0.25">
      <c r="B11" s="21" t="s">
        <v>24</v>
      </c>
      <c r="C11" s="19" t="s">
        <v>25</v>
      </c>
      <c r="D11" s="17"/>
      <c r="E11" s="20" t="s">
        <v>26</v>
      </c>
      <c r="F11" s="25">
        <v>8</v>
      </c>
      <c r="H11" s="5">
        <v>20</v>
      </c>
      <c r="I11" s="2">
        <v>10</v>
      </c>
      <c r="J11" s="2">
        <v>8</v>
      </c>
      <c r="K11" s="6">
        <f>H11*J11</f>
        <v>160</v>
      </c>
      <c r="L11" s="8" t="s">
        <v>95</v>
      </c>
    </row>
    <row r="12" spans="2:12" x14ac:dyDescent="0.25">
      <c r="B12" s="17" t="s">
        <v>52</v>
      </c>
      <c r="C12" s="19" t="s">
        <v>53</v>
      </c>
      <c r="D12" s="17"/>
      <c r="E12" s="20" t="s">
        <v>54</v>
      </c>
      <c r="F12" s="25">
        <v>1</v>
      </c>
      <c r="H12" s="5">
        <v>50</v>
      </c>
      <c r="I12" s="2">
        <v>20</v>
      </c>
      <c r="J12" s="2">
        <v>1</v>
      </c>
      <c r="K12" s="6">
        <f>H12*J12</f>
        <v>50</v>
      </c>
      <c r="L12" s="1" t="s">
        <v>105</v>
      </c>
    </row>
    <row r="13" spans="2:12" ht="32.25" customHeight="1" x14ac:dyDescent="0.25">
      <c r="B13" s="17" t="s">
        <v>55</v>
      </c>
      <c r="C13" s="19" t="s">
        <v>56</v>
      </c>
      <c r="D13" s="17"/>
      <c r="E13" s="20" t="s">
        <v>57</v>
      </c>
      <c r="F13" s="25">
        <v>2</v>
      </c>
      <c r="H13" s="5">
        <v>31</v>
      </c>
      <c r="I13" s="2">
        <v>10</v>
      </c>
      <c r="J13" s="2">
        <v>2</v>
      </c>
      <c r="K13" s="6">
        <f>H13*J13</f>
        <v>62</v>
      </c>
      <c r="L13" s="1" t="s">
        <v>106</v>
      </c>
    </row>
    <row r="14" spans="2:12" ht="30" customHeight="1" x14ac:dyDescent="0.25">
      <c r="B14" s="17" t="s">
        <v>58</v>
      </c>
      <c r="C14" s="19" t="s">
        <v>59</v>
      </c>
      <c r="D14" s="17"/>
      <c r="E14" s="20" t="s">
        <v>60</v>
      </c>
      <c r="F14" s="25">
        <v>1</v>
      </c>
      <c r="H14" s="5">
        <v>30</v>
      </c>
      <c r="I14" s="2">
        <v>20</v>
      </c>
      <c r="J14" s="2">
        <v>1</v>
      </c>
      <c r="K14" s="6">
        <f>H14*J14</f>
        <v>30</v>
      </c>
      <c r="L14" s="1" t="s">
        <v>113</v>
      </c>
    </row>
    <row r="15" spans="2:12" x14ac:dyDescent="0.25">
      <c r="B15" s="17" t="e">
        <f>-C15</f>
        <v>#VALUE!</v>
      </c>
      <c r="C15" s="19" t="s">
        <v>61</v>
      </c>
      <c r="D15" s="17"/>
      <c r="E15" s="20" t="s">
        <v>60</v>
      </c>
      <c r="F15" s="25">
        <v>4</v>
      </c>
      <c r="H15" s="7">
        <v>40</v>
      </c>
      <c r="I15" s="2">
        <v>400</v>
      </c>
      <c r="J15" s="2">
        <v>1</v>
      </c>
      <c r="K15" s="6">
        <f>H15*J15</f>
        <v>40</v>
      </c>
      <c r="L15" s="1" t="s">
        <v>116</v>
      </c>
    </row>
    <row r="16" spans="2:12" x14ac:dyDescent="0.25">
      <c r="B16" s="17" t="s">
        <v>62</v>
      </c>
      <c r="C16" s="19" t="s">
        <v>64</v>
      </c>
      <c r="D16" s="17"/>
      <c r="E16" s="20" t="s">
        <v>14</v>
      </c>
      <c r="F16" s="25">
        <v>1</v>
      </c>
      <c r="H16" s="5">
        <v>93</v>
      </c>
      <c r="I16" s="2">
        <v>100</v>
      </c>
      <c r="J16" s="2">
        <v>1</v>
      </c>
      <c r="K16" s="6">
        <f>H16*J16</f>
        <v>93</v>
      </c>
      <c r="L16" s="8" t="s">
        <v>114</v>
      </c>
    </row>
    <row r="17" spans="1:12" x14ac:dyDescent="0.25">
      <c r="B17" s="17" t="s">
        <v>65</v>
      </c>
      <c r="C17" s="19" t="s">
        <v>66</v>
      </c>
      <c r="D17" s="17"/>
      <c r="E17" s="20" t="s">
        <v>8</v>
      </c>
      <c r="F17" s="25">
        <v>1</v>
      </c>
      <c r="H17" s="5">
        <v>8</v>
      </c>
      <c r="I17" s="2">
        <v>100</v>
      </c>
      <c r="J17" s="2">
        <v>1</v>
      </c>
      <c r="K17" s="6">
        <f>H17*J17</f>
        <v>8</v>
      </c>
      <c r="L17" s="8" t="s">
        <v>104</v>
      </c>
    </row>
    <row r="18" spans="1:12" x14ac:dyDescent="0.25">
      <c r="A18" t="s">
        <v>63</v>
      </c>
      <c r="B18" s="17" t="s">
        <v>67</v>
      </c>
      <c r="C18" s="19" t="s">
        <v>69</v>
      </c>
      <c r="D18" s="17"/>
      <c r="E18" s="20" t="s">
        <v>9</v>
      </c>
      <c r="F18" s="25">
        <v>1</v>
      </c>
      <c r="H18" s="5">
        <v>8</v>
      </c>
      <c r="I18" s="2">
        <v>100</v>
      </c>
      <c r="J18" s="2">
        <v>1</v>
      </c>
      <c r="K18" s="6">
        <f>H18*J18</f>
        <v>8</v>
      </c>
      <c r="L18" s="1" t="s">
        <v>103</v>
      </c>
    </row>
    <row r="19" spans="1:12" x14ac:dyDescent="0.25">
      <c r="B19" s="17" t="s">
        <v>68</v>
      </c>
      <c r="C19" s="19" t="s">
        <v>70</v>
      </c>
      <c r="D19" s="17"/>
      <c r="E19" s="20" t="s">
        <v>10</v>
      </c>
      <c r="F19" s="25">
        <v>1</v>
      </c>
      <c r="H19" s="5">
        <v>8</v>
      </c>
      <c r="I19" s="2">
        <v>100</v>
      </c>
      <c r="J19" s="2">
        <v>1</v>
      </c>
      <c r="K19" s="6">
        <f>H19*J19</f>
        <v>8</v>
      </c>
      <c r="L19" s="1" t="s">
        <v>102</v>
      </c>
    </row>
    <row r="20" spans="1:12" x14ac:dyDescent="0.25">
      <c r="B20" s="17" t="s">
        <v>71</v>
      </c>
      <c r="C20" s="19" t="s">
        <v>72</v>
      </c>
      <c r="D20" s="17"/>
      <c r="E20" s="20" t="s">
        <v>73</v>
      </c>
      <c r="F20" s="25">
        <v>1</v>
      </c>
      <c r="H20" s="5">
        <v>55</v>
      </c>
      <c r="I20" s="2">
        <v>100</v>
      </c>
      <c r="J20" s="2">
        <v>1</v>
      </c>
      <c r="K20" s="6">
        <f>H20*J20</f>
        <v>55</v>
      </c>
      <c r="L20" s="1" t="s">
        <v>94</v>
      </c>
    </row>
    <row r="21" spans="1:12" x14ac:dyDescent="0.25">
      <c r="B21" s="17" t="s">
        <v>71</v>
      </c>
      <c r="C21" s="19" t="s">
        <v>74</v>
      </c>
      <c r="D21" s="17"/>
      <c r="E21" s="20" t="s">
        <v>73</v>
      </c>
      <c r="F21" s="25">
        <v>1</v>
      </c>
      <c r="H21" s="5">
        <v>55</v>
      </c>
      <c r="I21" s="2">
        <v>100</v>
      </c>
      <c r="J21" s="2">
        <v>1</v>
      </c>
      <c r="K21" s="6">
        <f>H21*J21</f>
        <v>55</v>
      </c>
      <c r="L21" s="1" t="s">
        <v>93</v>
      </c>
    </row>
    <row r="22" spans="1:12" x14ac:dyDescent="0.25">
      <c r="B22" s="17" t="s">
        <v>75</v>
      </c>
      <c r="C22" s="17" t="s">
        <v>75</v>
      </c>
      <c r="D22" s="17"/>
      <c r="E22" s="20" t="s">
        <v>76</v>
      </c>
      <c r="F22" s="25">
        <v>1</v>
      </c>
      <c r="H22" s="5">
        <v>12</v>
      </c>
      <c r="I22" s="2">
        <v>10</v>
      </c>
      <c r="J22" s="2">
        <v>1</v>
      </c>
      <c r="K22" s="6">
        <f>H22*J22</f>
        <v>12</v>
      </c>
      <c r="L22" s="8" t="s">
        <v>98</v>
      </c>
    </row>
    <row r="23" spans="1:12" x14ac:dyDescent="0.25">
      <c r="B23" s="17" t="s">
        <v>77</v>
      </c>
      <c r="C23" s="19" t="s">
        <v>120</v>
      </c>
      <c r="D23" s="17"/>
      <c r="E23" s="20" t="s">
        <v>83</v>
      </c>
      <c r="F23" s="25">
        <v>1</v>
      </c>
      <c r="H23" s="5">
        <v>665</v>
      </c>
      <c r="I23" s="2">
        <v>10</v>
      </c>
      <c r="J23" s="2">
        <v>1</v>
      </c>
      <c r="K23" s="6">
        <f>H23*J23</f>
        <v>665</v>
      </c>
      <c r="L23" s="1" t="s">
        <v>119</v>
      </c>
    </row>
    <row r="24" spans="1:12" x14ac:dyDescent="0.25">
      <c r="B24" s="17" t="s">
        <v>78</v>
      </c>
      <c r="C24" s="19" t="s">
        <v>79</v>
      </c>
      <c r="D24" s="17"/>
      <c r="E24" s="20" t="s">
        <v>80</v>
      </c>
      <c r="F24" s="25">
        <v>1</v>
      </c>
      <c r="H24" s="5">
        <v>85</v>
      </c>
      <c r="I24" s="2">
        <v>10</v>
      </c>
      <c r="J24" s="2">
        <v>1</v>
      </c>
      <c r="K24" s="6">
        <f>H24*J24</f>
        <v>85</v>
      </c>
      <c r="L24" s="1" t="s">
        <v>108</v>
      </c>
    </row>
    <row r="25" spans="1:12" x14ac:dyDescent="0.25">
      <c r="B25" s="17" t="s">
        <v>81</v>
      </c>
      <c r="C25" s="19" t="s">
        <v>82</v>
      </c>
      <c r="D25" s="17"/>
      <c r="E25" s="20" t="s">
        <v>83</v>
      </c>
      <c r="F25" s="25">
        <v>1</v>
      </c>
      <c r="H25" s="5">
        <v>27</v>
      </c>
      <c r="I25" s="2">
        <v>1</v>
      </c>
      <c r="J25" s="2">
        <v>10</v>
      </c>
      <c r="K25" s="6">
        <f>H25*J25</f>
        <v>270</v>
      </c>
      <c r="L25" s="1" t="s">
        <v>107</v>
      </c>
    </row>
    <row r="26" spans="1:12" x14ac:dyDescent="0.25">
      <c r="B26" s="17" t="s">
        <v>75</v>
      </c>
      <c r="C26" s="19" t="s">
        <v>84</v>
      </c>
      <c r="D26" s="17"/>
      <c r="E26" s="20" t="s">
        <v>80</v>
      </c>
      <c r="F26" s="25">
        <v>1</v>
      </c>
      <c r="H26" s="5">
        <v>60</v>
      </c>
      <c r="I26" s="2">
        <v>10</v>
      </c>
      <c r="J26" s="2">
        <v>1</v>
      </c>
      <c r="K26" s="6">
        <f>H26*J26</f>
        <v>60</v>
      </c>
      <c r="L26" s="1" t="s">
        <v>109</v>
      </c>
    </row>
    <row r="27" spans="1:12" ht="30" x14ac:dyDescent="0.25">
      <c r="B27" s="17" t="s">
        <v>27</v>
      </c>
      <c r="C27" s="18" t="s">
        <v>28</v>
      </c>
      <c r="D27" s="17"/>
      <c r="E27" s="22">
        <v>103450</v>
      </c>
      <c r="F27" s="25">
        <v>1</v>
      </c>
      <c r="H27" s="5">
        <v>183</v>
      </c>
      <c r="I27" s="2">
        <v>4</v>
      </c>
      <c r="J27" s="2">
        <v>2</v>
      </c>
      <c r="K27" s="6">
        <f>H27*J27</f>
        <v>366</v>
      </c>
      <c r="L27" s="1" t="s">
        <v>85</v>
      </c>
    </row>
    <row r="28" spans="1:12" x14ac:dyDescent="0.25">
      <c r="B28" s="17" t="s">
        <v>29</v>
      </c>
      <c r="C28" s="19" t="s">
        <v>30</v>
      </c>
      <c r="D28" s="17"/>
      <c r="E28" s="20" t="s">
        <v>33</v>
      </c>
      <c r="F28" s="25">
        <v>2</v>
      </c>
      <c r="H28" s="5">
        <v>115</v>
      </c>
      <c r="I28" s="2">
        <v>10</v>
      </c>
      <c r="J28" s="2">
        <v>2</v>
      </c>
      <c r="K28" s="6">
        <f>H28*J28</f>
        <v>230</v>
      </c>
      <c r="L28" s="1" t="s">
        <v>118</v>
      </c>
    </row>
    <row r="29" spans="1:12" x14ac:dyDescent="0.25">
      <c r="B29" s="17" t="s">
        <v>34</v>
      </c>
      <c r="C29" s="19" t="s">
        <v>35</v>
      </c>
      <c r="D29" s="17"/>
      <c r="E29" s="20" t="s">
        <v>36</v>
      </c>
      <c r="F29" s="25">
        <v>2</v>
      </c>
      <c r="H29" s="5">
        <v>150</v>
      </c>
      <c r="I29" s="2">
        <v>20</v>
      </c>
      <c r="J29" s="2">
        <v>1</v>
      </c>
      <c r="K29" s="6">
        <f>H29*J29</f>
        <v>150</v>
      </c>
      <c r="L29" s="1" t="s">
        <v>88</v>
      </c>
    </row>
    <row r="30" spans="1:12" x14ac:dyDescent="0.25">
      <c r="B30" s="17" t="s">
        <v>37</v>
      </c>
      <c r="C30" s="19" t="s">
        <v>38</v>
      </c>
      <c r="D30" s="17"/>
      <c r="E30" s="20" t="s">
        <v>39</v>
      </c>
      <c r="F30" s="25">
        <v>2</v>
      </c>
      <c r="H30" s="5">
        <v>53</v>
      </c>
      <c r="I30" s="2">
        <v>20</v>
      </c>
      <c r="J30" s="2">
        <v>1</v>
      </c>
      <c r="K30" s="6">
        <f>H30*J30</f>
        <v>53</v>
      </c>
      <c r="L30" s="1" t="s">
        <v>86</v>
      </c>
    </row>
    <row r="31" spans="1:12" x14ac:dyDescent="0.25">
      <c r="B31" s="17" t="s">
        <v>40</v>
      </c>
      <c r="C31" s="19" t="s">
        <v>41</v>
      </c>
      <c r="D31" s="17"/>
      <c r="E31" s="20" t="s">
        <v>42</v>
      </c>
      <c r="F31" s="25">
        <v>2</v>
      </c>
      <c r="H31" s="5">
        <v>37</v>
      </c>
      <c r="I31" s="2">
        <v>100</v>
      </c>
      <c r="J31" s="2">
        <v>1</v>
      </c>
      <c r="K31" s="6">
        <f>H31*J31</f>
        <v>37</v>
      </c>
      <c r="L31" s="1" t="s">
        <v>87</v>
      </c>
    </row>
    <row r="32" spans="1:12" ht="30" x14ac:dyDescent="0.25">
      <c r="B32" s="17" t="s">
        <v>43</v>
      </c>
      <c r="C32" s="23" t="s">
        <v>44</v>
      </c>
      <c r="D32" s="17"/>
      <c r="E32" s="20" t="s">
        <v>45</v>
      </c>
      <c r="F32" s="25">
        <v>2</v>
      </c>
      <c r="H32" s="5">
        <v>90</v>
      </c>
      <c r="I32" s="2">
        <v>55</v>
      </c>
      <c r="J32" s="2">
        <v>1</v>
      </c>
      <c r="K32" s="6">
        <f>H32*J32</f>
        <v>90</v>
      </c>
      <c r="L32" s="1" t="s">
        <v>89</v>
      </c>
    </row>
    <row r="33" spans="2:12" x14ac:dyDescent="0.25">
      <c r="B33" s="17" t="s">
        <v>46</v>
      </c>
      <c r="C33" s="19" t="s">
        <v>47</v>
      </c>
      <c r="D33" s="17"/>
      <c r="E33" s="20" t="s">
        <v>48</v>
      </c>
      <c r="F33" s="25">
        <v>16</v>
      </c>
      <c r="H33" s="5">
        <v>55</v>
      </c>
      <c r="I33" s="2">
        <v>50</v>
      </c>
      <c r="J33" s="2">
        <v>4</v>
      </c>
      <c r="K33" s="6">
        <f>H33*J33</f>
        <v>220</v>
      </c>
      <c r="L33" s="1" t="s">
        <v>115</v>
      </c>
    </row>
    <row r="34" spans="2:12" x14ac:dyDescent="0.25">
      <c r="B34" s="17" t="s">
        <v>49</v>
      </c>
      <c r="C34" s="18" t="s">
        <v>50</v>
      </c>
      <c r="D34" s="17"/>
      <c r="E34" s="20" t="s">
        <v>51</v>
      </c>
      <c r="F34" s="25">
        <v>2</v>
      </c>
      <c r="H34" s="14" t="s">
        <v>127</v>
      </c>
      <c r="I34" s="14"/>
      <c r="J34" s="14"/>
      <c r="K34" s="14"/>
      <c r="L34" s="1"/>
    </row>
    <row r="35" spans="2:12" x14ac:dyDescent="0.25">
      <c r="B35" s="17" t="s">
        <v>121</v>
      </c>
      <c r="C35" s="19" t="s">
        <v>122</v>
      </c>
      <c r="D35" s="17"/>
      <c r="E35" s="19" t="s">
        <v>122</v>
      </c>
      <c r="F35" s="25">
        <v>2</v>
      </c>
      <c r="H35" s="5">
        <v>220</v>
      </c>
      <c r="I35" s="2">
        <v>10</v>
      </c>
      <c r="J35" s="2">
        <v>2</v>
      </c>
      <c r="K35" s="6">
        <f>H35*J35</f>
        <v>440</v>
      </c>
      <c r="L35" s="1" t="s">
        <v>123</v>
      </c>
    </row>
    <row r="36" spans="2:12" x14ac:dyDescent="0.25">
      <c r="B36" s="4" t="s">
        <v>117</v>
      </c>
      <c r="K36">
        <v>612</v>
      </c>
    </row>
    <row r="37" spans="2:12" x14ac:dyDescent="0.25">
      <c r="J37" t="s">
        <v>32</v>
      </c>
      <c r="K37" s="3">
        <f>SUM(K3:K36)</f>
        <v>4112</v>
      </c>
    </row>
  </sheetData>
  <hyperlinks>
    <hyperlink ref="L22" r:id="rId1" display="https://es.aliexpress.com/item/1005007928575533.html?spm=a2g0o.cart.0.0.1d607a9dgFyQhf&amp;mp=1&amp;pdp_npi=5%40dis%21MXN%21MXN%2012.05%21MXN%2011.86%21%21MXN%2011.86%21%21%21%402103201917495717114476299e26f8%2112000042897043038%21ct%21MX%21-1%21%211%210&amp;gatewayAdapt=glo2esp" xr:uid="{00000000-0004-0000-0000-000000000000}"/>
    <hyperlink ref="L8" r:id="rId2" display="https://es.aliexpress.com/item/4000145165262.html?spm=a2g0o.cart.0.0.1d607a9dgFyQhf&amp;mp=1&amp;pdp_npi=5%40dis%21MXN%21MXN%2048.90%21MXN%2048.90%21%21MXN%2048.90%21%21%21%402103201917495717114476299e26f8%2112000040108518554%21ct%21MX%21-1%21%211%210&amp;gatewayAdapt=glo2esp" xr:uid="{00000000-0004-0000-0000-000001000000}"/>
    <hyperlink ref="L7" r:id="rId3" display="https://es.aliexpress.com/item/1005005000107445.html?spm=a2g0o.cart.0.0.1d607a9dgFyQhf&amp;mp=1&amp;pdp_npi=5%40dis%21MXN%21MXN%2077.07%21MXN%2067.35%21%21MXN%2067.35%21%21%21%402103201917495717114476299e26f8%2112000031301177862%21ct%21MX%21-1%21%211%210&amp;pdp_ext_f=%7B%22cart2PdpParams%22%3A%7B%22pdpBusinessMode%22%3A%22retail%22%7D%7D&amp;gatewayAdapt=glo2esp" xr:uid="{00000000-0004-0000-0000-000002000000}"/>
    <hyperlink ref="L10" r:id="rId4" display="https://es.aliexpress.com/item/1005008684219494.html?spm=a2g0o.cart.0.0.1d607a9dgFyQhf&amp;mp=1&amp;pdp_npi=5%40dis%21MXN%21MXN%2077.90%21MXN%2077.90%21%21MXN%2077.90%21%21%21%402103201917495717114476299e26f8%2112000046229508880%21ct%21MX%21-1%21%211%210&amp;gatewayAdapt=glo2esp" xr:uid="{00000000-0004-0000-0000-000003000000}"/>
    <hyperlink ref="L11" r:id="rId5" display="https://es.aliexpress.com/item/1005008365308058.html?spm=a2g0o.cart.0.0.1d607a9dgFyQhf&amp;mp=1&amp;pdp_npi=5%40dis%21MXN%21MXN%2018.86%21MXN%2018.86%21%21MXN%2018.86%21%21%21%402103201917495717114476299e26f8%2112000044730357839%21ct%21MX%21-1%21%218%210&amp;gatewayAdapt=glo2esp" xr:uid="{00000000-0004-0000-0000-000004000000}"/>
    <hyperlink ref="L3" r:id="rId6" display="https://es.aliexpress.com/item/1005006446690152.html?spm=a2g0o.cart.0.0.262a7a9dqmTZwg&amp;mp=1&amp;pdp_npi=5%40dis%21MXN%21MXN%209.29%21MXN%207.42%21%21MXN%207.42%21%21%21%40210330dd17495759599955138e29c2%2112000037200446655%21ct%21MX%212167324100%21%211%210&amp;gatewayAdapt=glo2esp" xr:uid="{00000000-0004-0000-0000-000005000000}"/>
    <hyperlink ref="L4" r:id="rId7" display="https://es.aliexpress.com/item/1005006446690152.html?spm=a2g0o.cart.0.0.262a7a9dqmTZwg&amp;mp=1&amp;pdp_npi=5%40dis%21MXN%21MXN%209.29%21MXN%207.42%21%21MXN%207.42%21%21%21%40210330dd17495759599955138e29c2%2112000037200446539%21ct%21MX%212167324100%21%211%210&amp;gatewayAdapt=glo2esp" xr:uid="{00000000-0004-0000-0000-000006000000}"/>
    <hyperlink ref="L5" r:id="rId8" display="https://es.aliexpress.com/item/1005006446690152.html?spm=a2g0o.cart.0.0.262a7a9dqmTZwg&amp;mp=1&amp;pdp_npi=5%40dis%21MXN%21MXN%209.29%21MXN%207.42%21%21MXN%207.42%21%21%21%40210330dd17495759599955138e29c2%2112000037200446597%21ct%21MX%212167324100%21%211%210&amp;gatewayAdapt=glo2esp" xr:uid="{00000000-0004-0000-0000-000007000000}"/>
    <hyperlink ref="L16" r:id="rId9" display="https://es.aliexpress.com/item/1005005000107445.html?spm=a2g0o.cart.0.0.3e477a9dAe5HUI&amp;mp=1&amp;pdp_npi=5%40dis%21MXN%21MXN%2093.90%21MXN%2093.90%21%21MXN%2093.90%21%21%21%40210318c317496556498204602e1c00%2112000031301177900%21ct%21MX%212167324100%21%211%210&amp;pdp_ext_f=%7B%22cart2PdpParams%22%3A%7B%22pdpBusinessMode%22%3A%22retail%22%7D%7D&amp;gatewayAdapt=glo2esp" xr:uid="{00000000-0004-0000-0000-000008000000}"/>
    <hyperlink ref="L17" r:id="rId10" display="https://es.aliexpress.com/item/1005006446690152.html?spm=a2g0o.cart.0.0.262a7a9dqmTZwg&amp;mp=1&amp;pdp_npi=5%40dis%21MXN%21MXN%209.29%21MXN%207.42%21%21MXN%207.42%21%21%21%40210330dd17495759599955138e29c2%2112000037200446639%21ct%21MX%212167324100%21%211%210&amp;gatewayAdapt=glo2esp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</dc:creator>
  <cp:lastModifiedBy>Luis César Negrete</cp:lastModifiedBy>
  <dcterms:created xsi:type="dcterms:W3CDTF">2025-06-10T14:26:35Z</dcterms:created>
  <dcterms:modified xsi:type="dcterms:W3CDTF">2025-10-18T00:23:13Z</dcterms:modified>
</cp:coreProperties>
</file>